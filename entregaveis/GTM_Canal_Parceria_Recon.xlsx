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M Canal de Parceria" sheetId="1" state="visible" r:id="rId1"/>
    <sheet xmlns:r="http://schemas.openxmlformats.org/officeDocument/2006/relationships" name="Legenda &amp; Bowt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&quot;-&quot;"/>
    <numFmt numFmtId="165" formatCode="R$ #,##0;-R$ #,##0;&quot;-&quot;"/>
    <numFmt numFmtId="166" formatCode="0 &quot;d&quot;"/>
    <numFmt numFmtId="167" formatCode="0.0"/>
    <numFmt numFmtId="168" formatCode="0.0&quot;x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B6157"/>
      <sz val="9"/>
    </font>
    <font>
      <name val="Arial"/>
      <b val="1"/>
      <color rgb="00E8C877"/>
      <sz val="9"/>
    </font>
    <font>
      <name val="Arial"/>
      <b val="1"/>
      <color rgb="00FFFFFF"/>
      <sz val="10"/>
    </font>
    <font>
      <name val="Arial"/>
      <b val="1"/>
      <color rgb="00E8C877"/>
      <sz val="9.5"/>
    </font>
    <font>
      <name val="Arial"/>
      <b val="1"/>
      <color rgb="00E8C877"/>
      <sz val="10.5"/>
    </font>
    <font>
      <name val="Arial"/>
      <color rgb="00141915"/>
      <sz val="10"/>
    </font>
    <font>
      <name val="Arial"/>
      <color rgb="008A6A2B"/>
      <sz val="10"/>
    </font>
    <font>
      <name val="Arial"/>
      <b val="1"/>
      <color rgb="00141915"/>
      <sz val="10"/>
    </font>
    <font>
      <name val="Arial"/>
      <b val="1"/>
      <color rgb="00B4893A"/>
      <sz val="8.5"/>
    </font>
    <font>
      <name val="Arial"/>
      <i val="1"/>
      <color rgb="006B7368"/>
      <sz val="9.5"/>
    </font>
    <font>
      <name val="Arial"/>
      <color rgb="009AA39A"/>
      <sz val="9"/>
    </font>
    <font>
      <name val="Arial"/>
      <i val="1"/>
      <color rgb="007C867C"/>
      <sz val="8.5"/>
    </font>
    <font>
      <name val="Arial"/>
      <b val="1"/>
      <color rgb="00FFFFFF"/>
      <sz val="13"/>
    </font>
    <font>
      <name val="Arial"/>
      <b val="1"/>
      <color rgb="008A6A2B"/>
      <sz val="10"/>
    </font>
    <font>
      <name val="Arial"/>
      <b val="1"/>
      <color rgb="002F7D64"/>
      <sz val="10"/>
    </font>
  </fonts>
  <fills count="7">
    <fill>
      <patternFill/>
    </fill>
    <fill>
      <patternFill patternType="gray125"/>
    </fill>
    <fill>
      <patternFill patternType="solid">
        <fgColor rgb="000F2A24"/>
      </patternFill>
    </fill>
    <fill>
      <patternFill patternType="solid">
        <fgColor rgb="00153A31"/>
      </patternFill>
    </fill>
    <fill>
      <patternFill patternType="solid">
        <fgColor rgb="00FBF3E0"/>
      </patternFill>
    </fill>
    <fill>
      <patternFill patternType="solid">
        <fgColor rgb="00F1F3EE"/>
      </patternFill>
    </fill>
    <fill>
      <patternFill patternType="solid">
        <fgColor rgb="00EAEDE5"/>
      </patternFill>
    </fill>
  </fills>
  <borders count="2">
    <border>
      <left/>
      <right/>
      <top/>
      <bottom/>
      <diagonal/>
    </border>
    <border>
      <left style="thin">
        <color rgb="00DCDFD5"/>
      </left>
      <right style="thin">
        <color rgb="00DCDFD5"/>
      </right>
      <top style="thin">
        <color rgb="00DCDFD5"/>
      </top>
      <bottom style="thin">
        <color rgb="00DCDFD5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164" fontId="8" fillId="4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164" fontId="9" fillId="6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9" fontId="8" fillId="4" borderId="1" applyAlignment="1" pivotButton="0" quotePrefix="0" xfId="0">
      <alignment horizontal="right" vertical="center"/>
    </xf>
    <xf numFmtId="9" fontId="9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167" fontId="8" fillId="4" borderId="1" applyAlignment="1" pivotButton="0" quotePrefix="0" xfId="0">
      <alignment horizontal="right" vertical="center"/>
    </xf>
    <xf numFmtId="167" fontId="9" fillId="5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168" fontId="9" fillId="6" borderId="1" applyAlignment="1" pivotButton="0" quotePrefix="0" xfId="0">
      <alignment horizontal="right" vertical="center"/>
    </xf>
    <xf numFmtId="168" fontId="9" fillId="5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0" fontId="14" fillId="2" borderId="0" pivotButton="0" quotePrefix="0" xfId="0"/>
    <xf numFmtId="0" fontId="6" fillId="2" borderId="0" pivotButton="0" quotePrefix="0" xfId="0"/>
    <xf numFmtId="0" fontId="15" fillId="4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56" customWidth="1" min="3" max="3"/>
    <col width="2" customWidth="1" min="4" max="4"/>
    <col width="9" customWidth="1" min="5" max="5"/>
    <col width="13" customWidth="1" min="6" max="6"/>
    <col width="13" customWidth="1" min="7" max="7"/>
    <col width="13" customWidth="1" min="8" max="8"/>
    <col width="15" customWidth="1" min="9" max="9"/>
  </cols>
  <sheetData>
    <row r="1" ht="34" customHeight="1">
      <c r="A1" s="1" t="inlineStr">
        <is>
          <t>CANAL DE PARCERIA  ·  GTM de Ativação de Parceiros  (Bowtie · Piloto)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Meta: 50 parceiros ativados em 3 meses (piloto)  ·  Budget de recrutamento ~R$ 32k  ·  CAC alvo ~R$ 600/parceiro  ·  Success fee do sócio = 5% da receita bruta do canal  ·  Recorrente do sócio = R$ 20k/mês.      ▨ Âmbar = premissa editável   ·   Preto = fórmula</t>
        </is>
      </c>
    </row>
    <row r="3" ht="6" customHeight="1"/>
    <row r="4" ht="20" customHeight="1">
      <c r="A4" s="2" t="n"/>
      <c r="B4" s="2" t="n"/>
      <c r="C4" s="2" t="n"/>
      <c r="D4" s="2" t="n"/>
      <c r="E4" s="4" t="inlineStr">
        <is>
          <t>Período</t>
        </is>
      </c>
      <c r="F4" s="5" t="inlineStr">
        <is>
          <t>Mês 1</t>
        </is>
      </c>
      <c r="G4" s="5" t="inlineStr">
        <is>
          <t>Mês 2</t>
        </is>
      </c>
      <c r="H4" s="5" t="inlineStr">
        <is>
          <t>Mês 3</t>
        </is>
      </c>
      <c r="I4" s="6" t="inlineStr">
        <is>
          <t>PILOTO · 3M</t>
        </is>
      </c>
    </row>
    <row r="5" ht="6" customHeight="1"/>
    <row r="6" ht="22" customHeight="1">
      <c r="A6" s="7" t="inlineStr">
        <is>
          <t xml:space="preserve">  SPLIT POR PERFIL DE PARCEIRO  ·  meta de ativações do piloto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17" customHeight="1">
      <c r="C7" s="8" t="inlineStr">
        <is>
          <t># Parceiros CONCESSIONÁRIAS / REVENDAS (Auto · Moto)</t>
        </is>
      </c>
      <c r="F7" s="9" t="n">
        <v>5</v>
      </c>
      <c r="G7" s="9" t="n">
        <v>7</v>
      </c>
      <c r="H7" s="9" t="n">
        <v>8</v>
      </c>
      <c r="I7" s="10">
        <f>SUM(F7:H7)</f>
        <v/>
      </c>
    </row>
    <row r="8" ht="17" customHeight="1">
      <c r="C8" s="8" t="inlineStr">
        <is>
          <t># Parceiros CORRETORAS / IMOBILIÁRIAS (Imóveis)</t>
        </is>
      </c>
      <c r="F8" s="9" t="n">
        <v>4</v>
      </c>
      <c r="G8" s="9" t="n">
        <v>6</v>
      </c>
      <c r="H8" s="9" t="n">
        <v>6</v>
      </c>
      <c r="I8" s="10">
        <f>SUM(F8:H8)</f>
        <v/>
      </c>
    </row>
    <row r="9" ht="17" customHeight="1">
      <c r="C9" s="8" t="inlineStr">
        <is>
          <t># Parceiros CORRESPONDENTES / VAREJO / DIGITAL (Todas)</t>
        </is>
      </c>
      <c r="F9" s="9" t="n">
        <v>3</v>
      </c>
      <c r="G9" s="9" t="n">
        <v>5</v>
      </c>
      <c r="H9" s="9" t="n">
        <v>6</v>
      </c>
      <c r="I9" s="10">
        <f>SUM(F9:H9)</f>
        <v/>
      </c>
    </row>
    <row r="10" ht="17" customHeight="1">
      <c r="C10" s="11" t="inlineStr">
        <is>
          <t># TOTAL parceiros ativados (meta)</t>
        </is>
      </c>
      <c r="F10" s="12">
        <f>F7+F8+F9</f>
        <v/>
      </c>
      <c r="G10" s="12">
        <f>G7+G8+G9</f>
        <v/>
      </c>
      <c r="H10" s="12">
        <f>H7+H8+H9</f>
        <v/>
      </c>
      <c r="I10" s="10">
        <f>SUM(F10:H10)</f>
        <v/>
      </c>
    </row>
    <row r="11" ht="17" customHeight="1">
      <c r="C11" s="8" t="inlineStr">
        <is>
          <t>R$ Budget de recrutamento — Concessionárias</t>
        </is>
      </c>
      <c r="F11" s="13" t="n">
        <v>2750</v>
      </c>
      <c r="G11" s="13" t="n">
        <v>3850</v>
      </c>
      <c r="H11" s="13" t="n">
        <v>4400</v>
      </c>
      <c r="I11" s="14">
        <f>SUM(F11:H11)</f>
        <v/>
      </c>
    </row>
    <row r="12" ht="17" customHeight="1">
      <c r="C12" s="8" t="inlineStr">
        <is>
          <t>R$ Budget de recrutamento — Corretoras</t>
        </is>
      </c>
      <c r="F12" s="13" t="n">
        <v>2600</v>
      </c>
      <c r="G12" s="13" t="n">
        <v>3900</v>
      </c>
      <c r="H12" s="13" t="n">
        <v>3900</v>
      </c>
      <c r="I12" s="14">
        <f>SUM(F12:H12)</f>
        <v/>
      </c>
    </row>
    <row r="13" ht="17" customHeight="1">
      <c r="C13" s="8" t="inlineStr">
        <is>
          <t>R$ Budget de recrutamento — Corresp./Varejo/Digital</t>
        </is>
      </c>
      <c r="F13" s="13" t="n">
        <v>2250</v>
      </c>
      <c r="G13" s="13" t="n">
        <v>3750</v>
      </c>
      <c r="H13" s="13" t="n">
        <v>4500</v>
      </c>
      <c r="I13" s="14">
        <f>SUM(F13:H13)</f>
        <v/>
      </c>
    </row>
    <row r="14" ht="17" customHeight="1">
      <c r="C14" s="11" t="inlineStr">
        <is>
          <t>R$ TOTAL budget de recrutamento (mês)</t>
        </is>
      </c>
      <c r="F14" s="15">
        <f>F11+F12+F13</f>
        <v/>
      </c>
      <c r="G14" s="15">
        <f>G11+G12+G13</f>
        <v/>
      </c>
      <c r="H14" s="15">
        <f>H11+H12+H13</f>
        <v/>
      </c>
      <c r="I14" s="14">
        <f>SUM(F14:H14)</f>
        <v/>
      </c>
    </row>
    <row r="15" ht="6" customHeight="1"/>
    <row r="16" ht="22" customHeight="1">
      <c r="A16" s="7" t="inlineStr">
        <is>
          <t xml:space="preserve">  AQUISIÇÃO  ·  alcance de parceiros potenciais (funil agregado)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7" customHeight="1">
      <c r="B17" s="16" t="inlineStr">
        <is>
          <t>VM1</t>
        </is>
      </c>
      <c r="C17" s="11" t="inlineStr">
        <is>
          <t># Parceiros alcançados (prospecção total)</t>
        </is>
      </c>
      <c r="F17" s="12">
        <f>F18+F19+F20</f>
        <v/>
      </c>
      <c r="G17" s="12">
        <f>G18+G19+G20</f>
        <v/>
      </c>
      <c r="H17" s="12">
        <f>H18+H19+H20</f>
        <v/>
      </c>
      <c r="I17" s="10">
        <f>SUM(F17:H17)</f>
        <v/>
      </c>
    </row>
    <row r="18" ht="17" customHeight="1">
      <c r="C18" s="17" t="inlineStr">
        <is>
          <t xml:space="preserve">        ▸ Mix: outreach direto (equipe comercial)</t>
        </is>
      </c>
      <c r="F18" s="9" t="n">
        <v>300</v>
      </c>
      <c r="G18" s="9" t="n">
        <v>340</v>
      </c>
      <c r="H18" s="9" t="n">
        <v>350</v>
      </c>
      <c r="I18" s="10">
        <f>SUM(F18:H18)</f>
        <v/>
      </c>
    </row>
    <row r="19" ht="17" customHeight="1">
      <c r="C19" s="17" t="inlineStr">
        <is>
          <t xml:space="preserve">        ▸ Mix: feiras, associações e concessionárias</t>
        </is>
      </c>
      <c r="F19" s="9" t="n">
        <v>120</v>
      </c>
      <c r="G19" s="9" t="n">
        <v>140</v>
      </c>
      <c r="H19" s="9" t="n">
        <v>140</v>
      </c>
      <c r="I19" s="10">
        <f>SUM(F19:H19)</f>
        <v/>
      </c>
    </row>
    <row r="20" ht="17" customHeight="1">
      <c r="C20" s="17" t="inlineStr">
        <is>
          <t xml:space="preserve">        ▸ Mix: indicação de parceiros atuais</t>
        </is>
      </c>
      <c r="F20" s="9" t="n">
        <v>100</v>
      </c>
      <c r="G20" s="9" t="n">
        <v>120</v>
      </c>
      <c r="H20" s="9" t="n">
        <v>130</v>
      </c>
      <c r="I20" s="10">
        <f>SUM(F20:H20)</f>
        <v/>
      </c>
    </row>
    <row r="21" ht="6" customHeight="1"/>
    <row r="22" ht="22" customHeight="1">
      <c r="A22" s="7" t="inlineStr">
        <is>
          <t xml:space="preserve">  EDUCAÇÃO  ·  parceiro demonstrou interesse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17" customHeight="1">
      <c r="B23" s="16" t="inlineStr">
        <is>
          <t>CR1</t>
        </is>
      </c>
      <c r="C23" s="8" t="inlineStr">
        <is>
          <t>% Alcance → Interessado</t>
        </is>
      </c>
      <c r="F23" s="18" t="n">
        <v>0.3</v>
      </c>
      <c r="G23" s="18" t="n">
        <v>0.3</v>
      </c>
      <c r="H23" s="18" t="n">
        <v>0.3</v>
      </c>
      <c r="I23" s="19">
        <f>IFERROR(SUM(F24:H24)/SUM(F17:H17),0)</f>
        <v/>
      </c>
    </row>
    <row r="24" ht="17" customHeight="1">
      <c r="B24" s="16" t="inlineStr">
        <is>
          <t>VM2</t>
        </is>
      </c>
      <c r="C24" s="8" t="inlineStr">
        <is>
          <t># Parceiros interessados</t>
        </is>
      </c>
      <c r="F24" s="20">
        <f>ROUND(F17*F23,0)</f>
        <v/>
      </c>
      <c r="G24" s="20">
        <f>ROUND(G17*G23,0)</f>
        <v/>
      </c>
      <c r="H24" s="20">
        <f>ROUND(H17*H23,0)</f>
        <v/>
      </c>
      <c r="I24" s="10">
        <f>SUM(F24:H24)</f>
        <v/>
      </c>
    </row>
    <row r="25" ht="6" customHeight="1"/>
    <row r="26" ht="22" customHeight="1">
      <c r="A26" s="7" t="inlineStr">
        <is>
          <t xml:space="preserve">  SELEÇÃO  ·  qualificação (fit de perfil + due diligence / compliance)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7" customHeight="1">
      <c r="B27" s="16" t="inlineStr">
        <is>
          <t>CR2</t>
        </is>
      </c>
      <c r="C27" s="8" t="inlineStr">
        <is>
          <t>% Interessado → Qualificado (apto ao credenciamento)</t>
        </is>
      </c>
      <c r="F27" s="18" t="n">
        <v>0.45</v>
      </c>
      <c r="G27" s="18" t="n">
        <v>0.45</v>
      </c>
      <c r="H27" s="18" t="n">
        <v>0.45</v>
      </c>
      <c r="I27" s="19">
        <f>IFERROR(SUM(F28:H28)/SUM(F24:H24),0)</f>
        <v/>
      </c>
    </row>
    <row r="28" ht="17" customHeight="1">
      <c r="B28" s="16" t="inlineStr">
        <is>
          <t>VM3</t>
        </is>
      </c>
      <c r="C28" s="8" t="inlineStr">
        <is>
          <t># Parceiros qualificados</t>
        </is>
      </c>
      <c r="F28" s="20">
        <f>ROUND(F24*F27,0)</f>
        <v/>
      </c>
      <c r="G28" s="20">
        <f>ROUND(G24*G27,0)</f>
        <v/>
      </c>
      <c r="H28" s="20">
        <f>ROUND(H24*H27,0)</f>
        <v/>
      </c>
      <c r="I28" s="10">
        <f>SUM(F28:H28)</f>
        <v/>
      </c>
    </row>
    <row r="29" ht="6" customHeight="1"/>
    <row r="30" ht="22" customHeight="1">
      <c r="A30" s="7" t="inlineStr">
        <is>
          <t xml:space="preserve">  CONVERSAÇÃO  ·  reunião de parceria 1:1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7" customHeight="1">
      <c r="B31" s="16" t="inlineStr">
        <is>
          <t>CR3</t>
        </is>
      </c>
      <c r="C31" s="8" t="inlineStr">
        <is>
          <t>% Qualificado → Reunião realizada</t>
        </is>
      </c>
      <c r="F31" s="18" t="n">
        <v>0.55</v>
      </c>
      <c r="G31" s="18" t="n">
        <v>0.55</v>
      </c>
      <c r="H31" s="18" t="n">
        <v>0.55</v>
      </c>
      <c r="I31" s="19">
        <f>IFERROR(SUM(F32:H32)/SUM(F28:H28),0)</f>
        <v/>
      </c>
    </row>
    <row r="32" ht="17" customHeight="1">
      <c r="B32" s="16" t="inlineStr">
        <is>
          <t>VM4</t>
        </is>
      </c>
      <c r="C32" s="8" t="inlineStr">
        <is>
          <t># Reuniões de parceria realizadas</t>
        </is>
      </c>
      <c r="F32" s="20">
        <f>ROUND(F28*F31,0)</f>
        <v/>
      </c>
      <c r="G32" s="20">
        <f>ROUND(G28*G31,0)</f>
        <v/>
      </c>
      <c r="H32" s="20">
        <f>ROUND(H28*H31,0)</f>
        <v/>
      </c>
      <c r="I32" s="10">
        <f>SUM(F32:H32)</f>
        <v/>
      </c>
    </row>
    <row r="33" ht="6" customHeight="1"/>
    <row r="34" ht="22" customHeight="1">
      <c r="A34" s="7" t="inlineStr">
        <is>
          <t xml:space="preserve">  FECHAMENTO  ·  assinatura do contrato de parceria (credenciado)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7" customHeight="1">
      <c r="B35" s="16" t="inlineStr">
        <is>
          <t>CR4</t>
        </is>
      </c>
      <c r="C35" s="8" t="inlineStr">
        <is>
          <t>% Reunião → Assinou contrato de parceria</t>
        </is>
      </c>
      <c r="F35" s="18" t="n">
        <v>0.5</v>
      </c>
      <c r="G35" s="18" t="n">
        <v>0.5</v>
      </c>
      <c r="H35" s="18" t="n">
        <v>0.5</v>
      </c>
      <c r="I35" s="19">
        <f>IFERROR(SUM(F36:H36)/SUM(F32:H32),0)</f>
        <v/>
      </c>
    </row>
    <row r="36" ht="17" customHeight="1">
      <c r="B36" s="16" t="inlineStr">
        <is>
          <t>VM5</t>
        </is>
      </c>
      <c r="C36" s="8" t="inlineStr">
        <is>
          <t># Parceiros credenciados (assinaram)</t>
        </is>
      </c>
      <c r="F36" s="20">
        <f>ROUND(F32*F35,0)</f>
        <v/>
      </c>
      <c r="G36" s="20">
        <f>ROUND(G32*G35,0)</f>
        <v/>
      </c>
      <c r="H36" s="20">
        <f>ROUND(H32*H35,0)</f>
        <v/>
      </c>
      <c r="I36" s="10">
        <f>SUM(F36:H36)</f>
        <v/>
      </c>
    </row>
    <row r="37" ht="6" customHeight="1"/>
    <row r="38" ht="22" customHeight="1">
      <c r="A38" s="7" t="inlineStr">
        <is>
          <t xml:space="preserve">  ATIVAÇÃO  ·  parceiro certificado + 1ª cota vendida  · CR5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7" customHeight="1">
      <c r="B39" s="16" t="inlineStr">
        <is>
          <t>CR5</t>
        </is>
      </c>
      <c r="C39" s="8" t="inlineStr">
        <is>
          <t>% Credenciado → Ativado (certificou + 1ª venda)</t>
        </is>
      </c>
      <c r="F39" s="18" t="n">
        <v>0.8</v>
      </c>
      <c r="G39" s="18" t="n">
        <v>0.8</v>
      </c>
      <c r="H39" s="18" t="n">
        <v>0.8</v>
      </c>
      <c r="I39" s="19">
        <f>IFERROR(SUM(F40:H40)/SUM(F36:H36),0)</f>
        <v/>
      </c>
    </row>
    <row r="40" ht="17" customHeight="1">
      <c r="B40" s="16" t="inlineStr">
        <is>
          <t>VM6</t>
        </is>
      </c>
      <c r="C40" s="11" t="inlineStr">
        <is>
          <t># Parceiros ATIVADOS (vendendo)</t>
        </is>
      </c>
      <c r="F40" s="12">
        <f>ROUND(F36*F39,0)</f>
        <v/>
      </c>
      <c r="G40" s="12">
        <f>ROUND(G36*G39,0)</f>
        <v/>
      </c>
      <c r="H40" s="12">
        <f>ROUND(H36*H39,0)</f>
        <v/>
      </c>
      <c r="I40" s="10">
        <f>SUM(F40:H40)</f>
        <v/>
      </c>
    </row>
    <row r="41" ht="17" customHeight="1">
      <c r="C41" s="8" t="inlineStr">
        <is>
          <t># Dias médios até a 1ª venda (Δt onboarding→venda)</t>
        </is>
      </c>
      <c r="F41" s="21" t="n">
        <v>25</v>
      </c>
      <c r="G41" s="21" t="n">
        <v>20</v>
      </c>
      <c r="H41" s="21" t="n">
        <v>18</v>
      </c>
      <c r="I41" s="22">
        <f>IFERROR(AVERAGE(F41:H41),0)</f>
        <v/>
      </c>
    </row>
    <row r="42" ht="6" customHeight="1"/>
    <row r="43" ht="22" customHeight="1">
      <c r="A43" s="7" t="inlineStr">
        <is>
          <t xml:space="preserve">  RETENÇÃO &amp; EXPANSÃO  ·  parceiro gerando receita para a Recon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17" customHeight="1">
      <c r="C44" s="11" t="inlineStr">
        <is>
          <t># Parceiros ATIVOS acumulado (base que vende)</t>
        </is>
      </c>
      <c r="F44" s="12">
        <f>F40</f>
        <v/>
      </c>
      <c r="G44" s="12">
        <f>F44+G40</f>
        <v/>
      </c>
      <c r="H44" s="12">
        <f>G44+H40</f>
        <v/>
      </c>
      <c r="I44" s="10">
        <f>H44</f>
        <v/>
      </c>
    </row>
    <row r="45" ht="17" customHeight="1">
      <c r="C45" s="8" t="inlineStr">
        <is>
          <t># Cotas vendidas por parceiro ativo / mês</t>
        </is>
      </c>
      <c r="F45" s="23" t="n">
        <v>1.5</v>
      </c>
      <c r="G45" s="23" t="n">
        <v>2</v>
      </c>
      <c r="H45" s="23" t="n">
        <v>2.5</v>
      </c>
      <c r="I45" s="24">
        <f>IFERROR(AVERAGE(F45:H45),0)</f>
        <v/>
      </c>
    </row>
    <row r="46" ht="17" customHeight="1">
      <c r="B46" s="16" t="inlineStr">
        <is>
          <t>VM7</t>
        </is>
      </c>
      <c r="C46" s="8" t="inlineStr">
        <is>
          <t># Cotas vendidas pelo canal (mês)</t>
        </is>
      </c>
      <c r="F46" s="20">
        <f>ROUND(F44*F45,0)</f>
        <v/>
      </c>
      <c r="G46" s="20">
        <f>ROUND(G44*G45,0)</f>
        <v/>
      </c>
      <c r="H46" s="20">
        <f>ROUND(H44*H45,0)</f>
        <v/>
      </c>
      <c r="I46" s="10">
        <f>SUM(F46:H46)</f>
        <v/>
      </c>
    </row>
    <row r="47" ht="17" customHeight="1">
      <c r="C47" s="8" t="inlineStr">
        <is>
          <t>R$ Crédito médio por cota (ticket / bem de referência)</t>
        </is>
      </c>
      <c r="F47" s="13" t="n">
        <v>60000</v>
      </c>
      <c r="G47" s="13" t="n">
        <v>60000</v>
      </c>
      <c r="H47" s="13" t="n">
        <v>60000</v>
      </c>
      <c r="I47" s="14">
        <f>IFERROR(AVERAGE(F47:H47),0)</f>
        <v/>
      </c>
    </row>
    <row r="48" ht="17" customHeight="1">
      <c r="B48" s="16" t="inlineStr">
        <is>
          <t>VM8</t>
        </is>
      </c>
      <c r="C48" s="8" t="inlineStr">
        <is>
          <t>R$ Volume de crédito comercializado pelo canal (GMV)</t>
        </is>
      </c>
      <c r="F48" s="25">
        <f>F46*F47</f>
        <v/>
      </c>
      <c r="G48" s="25">
        <f>G46*G47</f>
        <v/>
      </c>
      <c r="H48" s="25">
        <f>H46*H47</f>
        <v/>
      </c>
      <c r="I48" s="14">
        <f>SUM(F48:H48)</f>
        <v/>
      </c>
    </row>
    <row r="49" ht="17" customHeight="1">
      <c r="C49" s="8" t="inlineStr">
        <is>
          <t>% Taxa de administração média (base de referência)</t>
        </is>
      </c>
      <c r="F49" s="18" t="n">
        <v>0.18</v>
      </c>
      <c r="G49" s="18" t="n">
        <v>0.18</v>
      </c>
      <c r="H49" s="18" t="n">
        <v>0.18</v>
      </c>
      <c r="I49" s="19">
        <f>IFERROR(AVERAGE(F49:H49),0)</f>
        <v/>
      </c>
    </row>
    <row r="50" ht="17" customHeight="1">
      <c r="B50" s="16" t="inlineStr">
        <is>
          <t>VM9</t>
        </is>
      </c>
      <c r="C50" s="11" t="inlineStr">
        <is>
          <t>R$ Receita bruta gerada p/ Recon (taxa adm. contratada)</t>
        </is>
      </c>
      <c r="F50" s="15">
        <f>F48*F49</f>
        <v/>
      </c>
      <c r="G50" s="15">
        <f>G48*G49</f>
        <v/>
      </c>
      <c r="H50" s="15">
        <f>H48*H49</f>
        <v/>
      </c>
      <c r="I50" s="14">
        <f>SUM(F50:H50)</f>
        <v/>
      </c>
    </row>
    <row r="51" ht="17" customHeight="1">
      <c r="C51" s="8" t="inlineStr">
        <is>
          <t>R$ Success fee do Sócio Estratégico (5% da receita bruta)</t>
        </is>
      </c>
      <c r="F51" s="25">
        <f>F50*0.05</f>
        <v/>
      </c>
      <c r="G51" s="25">
        <f>G50*0.05</f>
        <v/>
      </c>
      <c r="H51" s="25">
        <f>H50*0.05</f>
        <v/>
      </c>
      <c r="I51" s="14">
        <f>SUM(F51:H51)</f>
        <v/>
      </c>
    </row>
    <row r="52" ht="6" customHeight="1"/>
    <row r="53" ht="22" customHeight="1">
      <c r="A53" s="7" t="inlineStr">
        <is>
          <t xml:space="preserve">  RETENÇÃO  ·  parceiro segue ativo (CR7)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7" customHeight="1">
      <c r="B54" s="16" t="inlineStr">
        <is>
          <t>CR7</t>
        </is>
      </c>
      <c r="C54" s="8" t="inlineStr">
        <is>
          <t>% Retenção mensal de parceiros (não evadem)</t>
        </is>
      </c>
      <c r="F54" s="18" t="n">
        <v>0.9</v>
      </c>
      <c r="G54" s="18" t="n">
        <v>0.9</v>
      </c>
      <c r="H54" s="18" t="n">
        <v>0.9</v>
      </c>
      <c r="I54" s="19">
        <f>IFERROR(AVERAGE(F54:H54),0)</f>
        <v/>
      </c>
    </row>
    <row r="55" ht="6" customHeight="1"/>
    <row r="56" ht="22" customHeight="1">
      <c r="A56" s="7" t="inlineStr">
        <is>
          <t xml:space="preserve">  INVESTIMENTO &amp; CUSTO DO CANAL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7" customHeight="1">
      <c r="C57" s="8" t="inlineStr">
        <is>
          <t>R$ Budget de recrutamento no mês</t>
        </is>
      </c>
      <c r="F57" s="25">
        <f>F14</f>
        <v/>
      </c>
      <c r="G57" s="25">
        <f>G14</f>
        <v/>
      </c>
      <c r="H57" s="25">
        <f>H14</f>
        <v/>
      </c>
      <c r="I57" s="14">
        <f>SUM(F57:H57)</f>
        <v/>
      </c>
    </row>
    <row r="58" ht="17" customHeight="1">
      <c r="C58" s="8" t="inlineStr">
        <is>
          <t>R$ Fee recorrente do Sócio Estratégico</t>
        </is>
      </c>
      <c r="F58" s="13" t="n">
        <v>20000</v>
      </c>
      <c r="G58" s="13" t="n">
        <v>20000</v>
      </c>
      <c r="H58" s="13" t="n">
        <v>20000</v>
      </c>
      <c r="I58" s="14">
        <f>SUM(F58:H58)</f>
        <v/>
      </c>
    </row>
    <row r="59" ht="17" customHeight="1">
      <c r="C59" s="8" t="inlineStr">
        <is>
          <t>R$ Success fee do Sócio (5%)</t>
        </is>
      </c>
      <c r="F59" s="25">
        <f>F51</f>
        <v/>
      </c>
      <c r="G59" s="25">
        <f>G51</f>
        <v/>
      </c>
      <c r="H59" s="25">
        <f>H51</f>
        <v/>
      </c>
      <c r="I59" s="14">
        <f>SUM(F59:H59)</f>
        <v/>
      </c>
    </row>
    <row r="60" ht="17" customHeight="1">
      <c r="C60" s="11" t="inlineStr">
        <is>
          <t>R$ Custo total do canal (mês)</t>
        </is>
      </c>
      <c r="F60" s="15">
        <f>F57+F58+F59</f>
        <v/>
      </c>
      <c r="G60" s="15">
        <f>G57+G58+G59</f>
        <v/>
      </c>
      <c r="H60" s="15">
        <f>H57+H58+H59</f>
        <v/>
      </c>
      <c r="I60" s="14">
        <f>SUM(F60:H60)</f>
        <v/>
      </c>
    </row>
    <row r="61" ht="17" customHeight="1">
      <c r="C61" s="8" t="inlineStr">
        <is>
          <t>R$ CAC efetivo de recrutamento (budget ÷ ativados)</t>
        </is>
      </c>
      <c r="F61" s="25">
        <f>IFERROR(F57/F40,0)</f>
        <v/>
      </c>
      <c r="G61" s="25">
        <f>IFERROR(G57/G40,0)</f>
        <v/>
      </c>
      <c r="H61" s="25">
        <f>IFERROR(H57/H40,0)</f>
        <v/>
      </c>
      <c r="I61" s="14">
        <f>IFERROR(SUM(F57:H57)/SUM(F40:H40),0)</f>
        <v/>
      </c>
    </row>
    <row r="62" ht="17" customHeight="1">
      <c r="C62" s="8" t="inlineStr">
        <is>
          <t>R$ CAC alvo (referência)</t>
        </is>
      </c>
      <c r="F62" s="13" t="n">
        <v>600</v>
      </c>
      <c r="G62" s="13" t="n">
        <v>600</v>
      </c>
      <c r="H62" s="13" t="n">
        <v>600</v>
      </c>
      <c r="I62" s="26" t="inlineStr">
        <is>
          <t>—</t>
        </is>
      </c>
    </row>
    <row r="63" ht="6" customHeight="1"/>
    <row r="64" ht="22" customHeight="1">
      <c r="A64" s="7" t="inlineStr">
        <is>
          <t xml:space="preserve">  KPIs DO PILOTO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7" customHeight="1">
      <c r="B65" s="16" t="inlineStr">
        <is>
          <t>VM6</t>
        </is>
      </c>
      <c r="C65" s="11" t="inlineStr">
        <is>
          <t># Parceiros ativados — acumulado (vs meta 50)</t>
        </is>
      </c>
      <c r="F65" s="12">
        <f>F40</f>
        <v/>
      </c>
      <c r="G65" s="12">
        <f>F65+G40</f>
        <v/>
      </c>
      <c r="H65" s="12">
        <f>G65+H40</f>
        <v/>
      </c>
      <c r="I65" s="10">
        <f>H65</f>
        <v/>
      </c>
    </row>
    <row r="66" ht="17" customHeight="1">
      <c r="C66" s="8" t="inlineStr">
        <is>
          <t>R$ Receita bruta gerada p/ Recon — acumulada</t>
        </is>
      </c>
      <c r="F66" s="25">
        <f>F50</f>
        <v/>
      </c>
      <c r="G66" s="25">
        <f>F66+G50</f>
        <v/>
      </c>
      <c r="H66" s="25">
        <f>G66+H50</f>
        <v/>
      </c>
      <c r="I66" s="14">
        <f>H66</f>
        <v/>
      </c>
    </row>
    <row r="67" ht="17" customHeight="1">
      <c r="C67" s="8" t="inlineStr">
        <is>
          <t>R$ Success fee do Sócio — acumulado</t>
        </is>
      </c>
      <c r="F67" s="25">
        <f>F51</f>
        <v/>
      </c>
      <c r="G67" s="25">
        <f>F67+G51</f>
        <v/>
      </c>
      <c r="H67" s="25">
        <f>G67+H51</f>
        <v/>
      </c>
      <c r="I67" s="14">
        <f>H67</f>
        <v/>
      </c>
    </row>
    <row r="68" ht="17" customHeight="1">
      <c r="C68" s="8" t="inlineStr">
        <is>
          <t>R$ Custo total do canal — acumulado</t>
        </is>
      </c>
      <c r="F68" s="25">
        <f>F60</f>
        <v/>
      </c>
      <c r="G68" s="25">
        <f>F68+G60</f>
        <v/>
      </c>
      <c r="H68" s="25">
        <f>G68+H60</f>
        <v/>
      </c>
      <c r="I68" s="14">
        <f>H68</f>
        <v/>
      </c>
    </row>
    <row r="69" ht="17" customHeight="1">
      <c r="C69" s="11" t="inlineStr">
        <is>
          <t>ROI do canal p/ Recon (receita bruta ÷ custo total)*</t>
        </is>
      </c>
      <c r="F69" s="27">
        <f>IFERROR(F66/F68,0)</f>
        <v/>
      </c>
      <c r="G69" s="27">
        <f>IFERROR(G66/G68,0)</f>
        <v/>
      </c>
      <c r="H69" s="27">
        <f>IFERROR(H66/H68,0)</f>
        <v/>
      </c>
      <c r="I69" s="28">
        <f>IFERROR(H66/H68,0)</f>
        <v/>
      </c>
    </row>
    <row r="71" ht="28" customHeight="1">
      <c r="A71" s="29" t="inlineStr">
        <is>
          <t>* Receita bruta = taxa de administração CONTRATADA nas vendas do canal (reconhecida ao longo da vida dos grupos), não caixa do período; base de ROI indicativa. Ticket, taxa de adm. e conversões são premissas a calibrar no aprofundamento estratégico da implementação.</t>
        </is>
      </c>
    </row>
  </sheetData>
  <mergeCells count="14">
    <mergeCell ref="A64:I64"/>
    <mergeCell ref="A43:I43"/>
    <mergeCell ref="A2:I2"/>
    <mergeCell ref="A71:I71"/>
    <mergeCell ref="A1:I1"/>
    <mergeCell ref="A56:I56"/>
    <mergeCell ref="A53:I53"/>
    <mergeCell ref="A6:I6"/>
    <mergeCell ref="A22:I22"/>
    <mergeCell ref="A34:I34"/>
    <mergeCell ref="A38:I38"/>
    <mergeCell ref="A26:I26"/>
    <mergeCell ref="A30:I30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58" customWidth="1" min="3" max="3"/>
    <col width="3" customWidth="1" min="4" max="4"/>
  </cols>
  <sheetData>
    <row r="1" ht="30" customHeight="1">
      <c r="A1" s="30" t="inlineStr">
        <is>
          <t xml:space="preserve">  Como ler este modelo — GTM Bowtie do Canal de Parceria</t>
        </is>
      </c>
      <c r="B1" s="2" t="n"/>
      <c r="C1" s="2" t="n"/>
      <c r="D1" s="2" t="n"/>
    </row>
    <row r="3" ht="20" customHeight="1">
      <c r="A3" s="31" t="inlineStr">
        <is>
          <t xml:space="preserve">  LEGENDA DE CORES</t>
        </is>
      </c>
      <c r="B3" s="2" t="n"/>
      <c r="C3" s="2" t="n"/>
      <c r="D3" s="2" t="n"/>
    </row>
    <row r="4">
      <c r="B4" s="32" t="inlineStr">
        <is>
          <t>▨ Âmbar (fundo claro)</t>
        </is>
      </c>
      <c r="C4" s="33" t="inlineStr">
        <is>
          <t>Premissa editável — mude aqui e o funil recalcula.</t>
        </is>
      </c>
    </row>
    <row r="5">
      <c r="B5" s="34" t="inlineStr">
        <is>
          <t>Texto preto</t>
        </is>
      </c>
      <c r="C5" s="33" t="inlineStr">
        <is>
          <t>Fórmula calculada — não editar.</t>
        </is>
      </c>
    </row>
    <row r="6">
      <c r="B6" s="34" t="inlineStr">
        <is>
          <t>Coluna PILOTO · 3M</t>
        </is>
      </c>
      <c r="C6" s="33" t="inlineStr">
        <is>
          <t>Consolidado: soma para volumes/R$, média para % e tickets.</t>
        </is>
      </c>
    </row>
    <row r="8" ht="20" customHeight="1">
      <c r="A8" s="31" t="inlineStr">
        <is>
          <t xml:space="preserve">  O FUNIL BOWTIE (parceiros)</t>
        </is>
      </c>
      <c r="B8" s="2" t="n"/>
      <c r="C8" s="2" t="n"/>
      <c r="D8" s="2" t="n"/>
    </row>
    <row r="9">
      <c r="B9" s="35" t="inlineStr">
        <is>
          <t>1 · AQUISIÇÃO</t>
        </is>
      </c>
      <c r="C9" s="33" t="inlineStr">
        <is>
          <t>Alcance de parceiros potenciais (outreach, feiras, indicação).</t>
        </is>
      </c>
    </row>
    <row r="10">
      <c r="B10" s="35" t="inlineStr">
        <is>
          <t>2 · EDUCAÇÃO</t>
        </is>
      </c>
      <c r="C10" s="33" t="inlineStr">
        <is>
          <t>Parceiro demonstra interesse no canal.</t>
        </is>
      </c>
    </row>
    <row r="11">
      <c r="B11" s="35" t="inlineStr">
        <is>
          <t>3 · SELEÇÃO</t>
        </is>
      </c>
      <c r="C11" s="33" t="inlineStr">
        <is>
          <t>Qualificação: fit de perfil + due diligence / compliance.</t>
        </is>
      </c>
    </row>
    <row r="12">
      <c r="B12" s="35" t="inlineStr">
        <is>
          <t>4 · CONVERSAÇÃO</t>
        </is>
      </c>
      <c r="C12" s="33" t="inlineStr">
        <is>
          <t>Reunião de parceria 1:1.</t>
        </is>
      </c>
    </row>
    <row r="13">
      <c r="B13" s="35" t="inlineStr">
        <is>
          <t>5 · FECHAMENTO</t>
        </is>
      </c>
      <c r="C13" s="33" t="inlineStr">
        <is>
          <t>Assinatura do contrato de parceria (credenciado).</t>
        </is>
      </c>
    </row>
    <row r="14">
      <c r="B14" s="35" t="inlineStr">
        <is>
          <t>6 · ATIVAÇÃO</t>
        </is>
      </c>
      <c r="C14" s="33" t="inlineStr">
        <is>
          <t>Certificação + 1ª cota vendida = parceiro ativado.</t>
        </is>
      </c>
    </row>
    <row r="15">
      <c r="B15" s="35" t="inlineStr">
        <is>
          <t>7 · RETENÇÃO &amp; EXPANSÃO</t>
        </is>
      </c>
      <c r="C15" s="33" t="inlineStr">
        <is>
          <t>Parceiro ativo vende cotas → receita p/ Recon.</t>
        </is>
      </c>
    </row>
    <row r="17" ht="20" customHeight="1">
      <c r="A17" s="31" t="inlineStr">
        <is>
          <t xml:space="preserve">  PONTES COM A PROPOSTA</t>
        </is>
      </c>
      <c r="B17" s="2" t="n"/>
      <c r="C17" s="2" t="n"/>
      <c r="D17" s="2" t="n"/>
    </row>
    <row r="18">
      <c r="B18" s="35" t="inlineStr">
        <is>
          <t>Success fee do sócio</t>
        </is>
      </c>
      <c r="C18" s="33" t="inlineStr">
        <is>
          <t>5% da receita bruta gerada pelo canal (linha 51).</t>
        </is>
      </c>
    </row>
    <row r="19">
      <c r="B19" s="35" t="inlineStr">
        <is>
          <t>Recorrente do sócio</t>
        </is>
      </c>
      <c r="C19" s="33" t="inlineStr">
        <is>
          <t>R$ 20k/mês (linha 58).</t>
        </is>
      </c>
    </row>
    <row r="20">
      <c r="B20" s="35" t="inlineStr">
        <is>
          <t>Níveis de parceiro (ROI)</t>
        </is>
      </c>
      <c r="C20" s="33" t="inlineStr">
        <is>
          <t>Quanto mais alto o nível, mais cotas/mês → mais receita.</t>
        </is>
      </c>
    </row>
    <row r="21">
      <c r="B21" s="35" t="inlineStr">
        <is>
          <t>Meta do piloto</t>
        </is>
      </c>
      <c r="C21" s="33" t="inlineStr">
        <is>
          <t>50 parceiros ativados em 3 meses; escala p/ +150 em 12 meses.</t>
        </is>
      </c>
    </row>
  </sheetData>
  <mergeCells count="4">
    <mergeCell ref="A1:D1"/>
    <mergeCell ref="A8:D8"/>
    <mergeCell ref="A3:D3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2026-08-25T13:02:37Z</dcterms:created>
  <dcterms:modified xmlns:dcterms="http://purl.org/dc/terms/" xmlns:xsi="http://www.w3.org/2001/XMLSchema-instance" xsi:type="dcterms:W3CDTF">2026-08-25T13:02:37Z</dcterms:modified>
</cp:coreProperties>
</file>