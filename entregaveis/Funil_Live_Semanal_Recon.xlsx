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il Live Semanal" sheetId="1" state="visible" r:id="rId1"/>
    <sheet xmlns:r="http://schemas.openxmlformats.org/officeDocument/2006/relationships" name="Legenda &amp; Nó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&quot;-&quot;"/>
    <numFmt numFmtId="165" formatCode="0 &quot;min&quot;"/>
    <numFmt numFmtId="166" formatCode="R$ #,##0;-R$ #,##0;&quot;-&quot;"/>
    <numFmt numFmtId="167" formatCode="0.0&quot;x&quot;"/>
    <numFmt numFmtId="168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B6157"/>
      <sz val="9"/>
    </font>
    <font>
      <name val="Arial"/>
      <b val="1"/>
      <color rgb="00E8C877"/>
      <sz val="9"/>
    </font>
    <font>
      <name val="Arial"/>
      <b val="1"/>
      <color rgb="00FFFFFF"/>
      <sz val="10"/>
    </font>
    <font>
      <name val="Arial"/>
      <b val="1"/>
      <color rgb="00E8C877"/>
      <sz val="8.5"/>
    </font>
    <font>
      <name val="Arial"/>
      <b val="1"/>
      <color rgb="00E8C877"/>
      <sz val="10.5"/>
    </font>
    <font>
      <name val="Arial"/>
      <b val="1"/>
      <color rgb="00B4893A"/>
      <sz val="8.5"/>
    </font>
    <font>
      <name val="Arial"/>
      <b val="1"/>
      <color rgb="00141915"/>
      <sz val="10"/>
    </font>
    <font>
      <name val="Arial"/>
      <i val="1"/>
      <color rgb="006B7368"/>
      <sz val="9.5"/>
    </font>
    <font>
      <name val="Arial"/>
      <color rgb="008A6A2B"/>
      <sz val="10"/>
    </font>
    <font>
      <name val="Arial"/>
      <color rgb="00141915"/>
      <sz val="10"/>
    </font>
    <font>
      <name val="Arial"/>
      <i val="1"/>
      <color rgb="007C867C"/>
      <sz val="8.5"/>
    </font>
    <font>
      <name val="Arial"/>
      <b val="1"/>
      <color rgb="00FFFFFF"/>
      <sz val="13"/>
    </font>
    <font>
      <name val="Arial"/>
      <b val="1"/>
      <color rgb="008A6A2B"/>
      <sz val="10"/>
    </font>
    <font>
      <name val="Arial"/>
      <b val="1"/>
      <color rgb="002F7D64"/>
      <sz val="10"/>
    </font>
  </fonts>
  <fills count="7">
    <fill>
      <patternFill/>
    </fill>
    <fill>
      <patternFill patternType="gray125"/>
    </fill>
    <fill>
      <patternFill patternType="solid">
        <fgColor rgb="000F2A24"/>
      </patternFill>
    </fill>
    <fill>
      <patternFill patternType="solid">
        <fgColor rgb="00153A31"/>
      </patternFill>
    </fill>
    <fill>
      <patternFill patternType="solid">
        <fgColor rgb="00EAEDE5"/>
      </patternFill>
    </fill>
    <fill>
      <patternFill patternType="solid">
        <fgColor rgb="00F1F3EE"/>
      </patternFill>
    </fill>
    <fill>
      <patternFill patternType="solid">
        <fgColor rgb="00FBF3E0"/>
      </patternFill>
    </fill>
  </fills>
  <borders count="2">
    <border>
      <left/>
      <right/>
      <top/>
      <bottom/>
      <diagonal/>
    </border>
    <border>
      <left style="thin">
        <color rgb="00DCDFD5"/>
      </left>
      <right style="thin">
        <color rgb="00DCDFD5"/>
      </right>
      <top style="thin">
        <color rgb="00DCDFD5"/>
      </top>
      <bottom style="thin">
        <color rgb="00DCDFD5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164" fontId="8" fillId="4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general" vertical="center"/>
    </xf>
    <xf numFmtId="164" fontId="10" fillId="6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center"/>
    </xf>
    <xf numFmtId="9" fontId="10" fillId="6" borderId="1" applyAlignment="1" pivotButton="0" quotePrefix="0" xfId="0">
      <alignment horizontal="right" vertical="center"/>
    </xf>
    <xf numFmtId="9" fontId="8" fillId="5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 vertical="center"/>
    </xf>
    <xf numFmtId="165" fontId="10" fillId="6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6" fontId="10" fillId="6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6" fontId="11" fillId="0" borderId="1" applyAlignment="1" pivotButton="0" quotePrefix="0" xfId="0">
      <alignment horizontal="right" vertical="center"/>
    </xf>
    <xf numFmtId="166" fontId="8" fillId="4" borderId="1" applyAlignment="1" pivotButton="0" quotePrefix="0" xfId="0">
      <alignment horizontal="right" vertical="center"/>
    </xf>
    <xf numFmtId="167" fontId="8" fillId="4" borderId="1" applyAlignment="1" pivotButton="0" quotePrefix="0" xfId="0">
      <alignment horizontal="right" vertical="center"/>
    </xf>
    <xf numFmtId="167" fontId="8" fillId="5" borderId="1" applyAlignment="1" pivotButton="0" quotePrefix="0" xfId="0">
      <alignment horizontal="right" vertical="center"/>
    </xf>
    <xf numFmtId="168" fontId="11" fillId="0" borderId="1" applyAlignment="1" pivotButton="0" quotePrefix="0" xfId="0">
      <alignment horizontal="right" vertical="center"/>
    </xf>
    <xf numFmtId="168" fontId="8" fillId="5" borderId="1" applyAlignment="1" pivotButton="0" quotePrefix="0" xfId="0">
      <alignment horizontal="right" vertical="center"/>
    </xf>
    <xf numFmtId="167" fontId="11" fillId="0" borderId="1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13" fillId="2" borderId="0" pivotButton="0" quotePrefix="0" xfId="0"/>
    <xf numFmtId="0" fontId="6" fillId="2" borderId="0" pivotButton="0" quotePrefix="0" xfId="0"/>
    <xf numFmtId="0" fontId="14" fillId="6" borderId="0" pivotButton="0" quotePrefix="0" xfId="0"/>
    <xf numFmtId="0" fontId="11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58" customWidth="1" min="3" max="3"/>
    <col width="2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34" customHeight="1">
      <c r="A1" s="1" t="inlineStr">
        <is>
          <t>FUNIL DE LIVE SEMANAL  ·  Jornada completa: alcance → venda → follow-up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Uma live por semana · todos os nós do funil. Preencha os números de cada live nas células âmbar; o funil recalcula.   ▨ Âmbar = premissa editável  ·  Preto = fórmula.   Coluna Total/Média consolida o mês (soma volumes/R$; média/ponderada para % e tickets).</t>
        </is>
      </c>
    </row>
    <row r="3" ht="6" customHeight="1"/>
    <row r="4" ht="20" customHeight="1">
      <c r="A4" s="2" t="n"/>
      <c r="B4" s="2" t="n"/>
      <c r="C4" s="2" t="n"/>
      <c r="D4" s="2" t="n"/>
      <c r="E4" s="4" t="inlineStr">
        <is>
          <t>Semana</t>
        </is>
      </c>
      <c r="F4" s="5" t="inlineStr">
        <is>
          <t>Live 1</t>
        </is>
      </c>
      <c r="G4" s="5" t="inlineStr">
        <is>
          <t>Live 2</t>
        </is>
      </c>
      <c r="H4" s="5" t="inlineStr">
        <is>
          <t>Live 3</t>
        </is>
      </c>
      <c r="I4" s="5" t="inlineStr">
        <is>
          <t>Live 4</t>
        </is>
      </c>
      <c r="J4" s="6" t="inlineStr">
        <is>
          <t>TOTAL / MÉDIA</t>
        </is>
      </c>
    </row>
    <row r="5" ht="6" customHeight="1"/>
    <row r="6" ht="22" customHeight="1">
      <c r="A6" s="7" t="inlineStr">
        <is>
          <t xml:space="preserve">  PRÉ-LIVE  ·  divulgação e aquecimento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 ht="17" customHeight="1">
      <c r="B7" s="8" t="inlineStr">
        <is>
          <t>VM1</t>
        </is>
      </c>
      <c r="C7" s="9" t="inlineStr">
        <is>
          <t># Alcance total da divulgação</t>
        </is>
      </c>
      <c r="F7" s="10">
        <f>F8+F9+F10</f>
        <v/>
      </c>
      <c r="G7" s="10">
        <f>G8+G9+G10</f>
        <v/>
      </c>
      <c r="H7" s="10">
        <f>H8+H9+H10</f>
        <v/>
      </c>
      <c r="I7" s="10">
        <f>I8+I9+I10</f>
        <v/>
      </c>
      <c r="J7" s="11">
        <f>SUM(F7:I7)</f>
        <v/>
      </c>
    </row>
    <row r="8" ht="17" customHeight="1">
      <c r="C8" s="12" t="inlineStr">
        <is>
          <t xml:space="preserve">        ▸ Alcance orgânico (feed / stories / reels)</t>
        </is>
      </c>
      <c r="F8" s="13" t="n">
        <v>8000</v>
      </c>
      <c r="G8" s="13" t="n">
        <v>9000</v>
      </c>
      <c r="H8" s="13" t="n">
        <v>9500</v>
      </c>
      <c r="I8" s="13" t="n">
        <v>10000</v>
      </c>
      <c r="J8" s="11">
        <f>SUM(F8:I8)</f>
        <v/>
      </c>
    </row>
    <row r="9" ht="17" customHeight="1">
      <c r="C9" s="12" t="inlineStr">
        <is>
          <t xml:space="preserve">        ▸ Alcance pago (ads)</t>
        </is>
      </c>
      <c r="F9" s="13" t="n">
        <v>4000</v>
      </c>
      <c r="G9" s="13" t="n">
        <v>4500</v>
      </c>
      <c r="H9" s="13" t="n">
        <v>5000</v>
      </c>
      <c r="I9" s="13" t="n">
        <v>5000</v>
      </c>
      <c r="J9" s="11">
        <f>SUM(F9:I9)</f>
        <v/>
      </c>
    </row>
    <row r="10" ht="17" customHeight="1">
      <c r="C10" s="12" t="inlineStr">
        <is>
          <t xml:space="preserve">        ▸ Base própria (WhatsApp / e-mail / disparos)</t>
        </is>
      </c>
      <c r="F10" s="13" t="n">
        <v>3000</v>
      </c>
      <c r="G10" s="13" t="n">
        <v>3200</v>
      </c>
      <c r="H10" s="13" t="n">
        <v>3500</v>
      </c>
      <c r="I10" s="13" t="n">
        <v>3800</v>
      </c>
      <c r="J10" s="11">
        <f>SUM(F10:I10)</f>
        <v/>
      </c>
    </row>
    <row r="11" ht="17" customHeight="1">
      <c r="B11" s="8" t="inlineStr">
        <is>
          <t>CR1</t>
        </is>
      </c>
      <c r="C11" s="14" t="inlineStr">
        <is>
          <t>% Alcance → Inscrito na live</t>
        </is>
      </c>
      <c r="F11" s="15" t="n">
        <v>0.06</v>
      </c>
      <c r="G11" s="15" t="n">
        <v>0.06</v>
      </c>
      <c r="H11" s="15" t="n">
        <v>0.07000000000000001</v>
      </c>
      <c r="I11" s="15" t="n">
        <v>0.07000000000000001</v>
      </c>
      <c r="J11" s="16">
        <f>IFERROR(SUM(F12:I12)/SUM(F7:I7),0)</f>
        <v/>
      </c>
    </row>
    <row r="12" ht="17" customHeight="1">
      <c r="B12" s="8" t="inlineStr">
        <is>
          <t>VM2</t>
        </is>
      </c>
      <c r="C12" s="14" t="inlineStr">
        <is>
          <t># Inscritos na live (lista)</t>
        </is>
      </c>
      <c r="F12" s="17">
        <f>ROUND(F7*F11,0)</f>
        <v/>
      </c>
      <c r="G12" s="17">
        <f>ROUND(G7*G11,0)</f>
        <v/>
      </c>
      <c r="H12" s="17">
        <f>ROUND(H7*H11,0)</f>
        <v/>
      </c>
      <c r="I12" s="17">
        <f>ROUND(I7*I11,0)</f>
        <v/>
      </c>
      <c r="J12" s="11">
        <f>SUM(F12:I12)</f>
        <v/>
      </c>
    </row>
    <row r="13" ht="17" customHeight="1">
      <c r="B13" s="8" t="inlineStr">
        <is>
          <t>CR2</t>
        </is>
      </c>
      <c r="C13" s="14" t="inlineStr">
        <is>
          <t>% Inscrito → Opt-in de lembrete (grupo/WhatsApp)</t>
        </is>
      </c>
      <c r="F13" s="15" t="n">
        <v>0.7</v>
      </c>
      <c r="G13" s="15" t="n">
        <v>0.7</v>
      </c>
      <c r="H13" s="15" t="n">
        <v>0.72</v>
      </c>
      <c r="I13" s="15" t="n">
        <v>0.72</v>
      </c>
      <c r="J13" s="16">
        <f>IFERROR(SUM(F14:I14)/SUM(F12:I12),0)</f>
        <v/>
      </c>
    </row>
    <row r="14" ht="17" customHeight="1">
      <c r="B14" s="8" t="inlineStr">
        <is>
          <t>VM3</t>
        </is>
      </c>
      <c r="C14" s="14" t="inlineStr">
        <is>
          <t># Confirmados no lembrete</t>
        </is>
      </c>
      <c r="F14" s="17">
        <f>ROUND(F12*F13,0)</f>
        <v/>
      </c>
      <c r="G14" s="17">
        <f>ROUND(G12*G13,0)</f>
        <v/>
      </c>
      <c r="H14" s="17">
        <f>ROUND(H12*H13,0)</f>
        <v/>
      </c>
      <c r="I14" s="17">
        <f>ROUND(I12*I13,0)</f>
        <v/>
      </c>
      <c r="J14" s="11">
        <f>SUM(F14:I14)</f>
        <v/>
      </c>
    </row>
    <row r="15" ht="6" customHeight="1"/>
    <row r="16" ht="22" customHeight="1">
      <c r="A16" s="7" t="inlineStr">
        <is>
          <t xml:space="preserve">  AO VIVO  ·  audiência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 ht="17" customHeight="1">
      <c r="B17" s="8" t="inlineStr">
        <is>
          <t>CR3</t>
        </is>
      </c>
      <c r="C17" s="14" t="inlineStr">
        <is>
          <t>% Inscritos → Compareceram (show-up rate)</t>
        </is>
      </c>
      <c r="F17" s="15" t="n">
        <v>0.35</v>
      </c>
      <c r="G17" s="15" t="n">
        <v>0.38</v>
      </c>
      <c r="H17" s="15" t="n">
        <v>0.4</v>
      </c>
      <c r="I17" s="15" t="n">
        <v>0.42</v>
      </c>
      <c r="J17" s="16">
        <f>IFERROR(SUM(F18:I18)/SUM(F12:I12),0)</f>
        <v/>
      </c>
    </row>
    <row r="18" ht="17" customHeight="1">
      <c r="B18" s="8" t="inlineStr">
        <is>
          <t>VM4</t>
        </is>
      </c>
      <c r="C18" s="9" t="inlineStr">
        <is>
          <t># Espectadores únicos (entraram na live)</t>
        </is>
      </c>
      <c r="F18" s="10">
        <f>ROUND(F12*F17,0)</f>
        <v/>
      </c>
      <c r="G18" s="10">
        <f>ROUND(G12*G17,0)</f>
        <v/>
      </c>
      <c r="H18" s="10">
        <f>ROUND(H12*H17,0)</f>
        <v/>
      </c>
      <c r="I18" s="10">
        <f>ROUND(I12*I17,0)</f>
        <v/>
      </c>
      <c r="J18" s="11">
        <f>SUM(F18:I18)</f>
        <v/>
      </c>
    </row>
    <row r="19" ht="17" customHeight="1">
      <c r="C19" s="14" t="inlineStr">
        <is>
          <t># Pico de espectadores simultâneos</t>
        </is>
      </c>
      <c r="F19" s="13" t="n">
        <v>180</v>
      </c>
      <c r="G19" s="13" t="n">
        <v>230</v>
      </c>
      <c r="H19" s="13" t="n">
        <v>300</v>
      </c>
      <c r="I19" s="13" t="n">
        <v>340</v>
      </c>
      <c r="J19" s="11">
        <f>IFERROR(AVERAGE(F19:I19),0)</f>
        <v/>
      </c>
    </row>
    <row r="20" ht="17" customHeight="1">
      <c r="C20" s="14" t="inlineStr">
        <is>
          <t>Tempo médio de permanência</t>
        </is>
      </c>
      <c r="F20" s="18" t="n">
        <v>12</v>
      </c>
      <c r="G20" s="18" t="n">
        <v>14</v>
      </c>
      <c r="H20" s="18" t="n">
        <v>16</v>
      </c>
      <c r="I20" s="18" t="n">
        <v>18</v>
      </c>
      <c r="J20" s="19">
        <f>IFERROR(AVERAGE(F20:I20),0)</f>
        <v/>
      </c>
    </row>
    <row r="21" ht="17" customHeight="1">
      <c r="B21" s="8" t="inlineStr">
        <is>
          <t>CR4</t>
        </is>
      </c>
      <c r="C21" s="14" t="inlineStr">
        <is>
          <t>% Retenção até o bloco de oferta</t>
        </is>
      </c>
      <c r="F21" s="15" t="n">
        <v>0.45</v>
      </c>
      <c r="G21" s="15" t="n">
        <v>0.48</v>
      </c>
      <c r="H21" s="15" t="n">
        <v>0.5</v>
      </c>
      <c r="I21" s="15" t="n">
        <v>0.52</v>
      </c>
      <c r="J21" s="16">
        <f>IFERROR(SUM(F22:I22)/SUM(F18:I18),0)</f>
        <v/>
      </c>
    </row>
    <row r="22" ht="17" customHeight="1">
      <c r="B22" s="8" t="inlineStr">
        <is>
          <t>VM5</t>
        </is>
      </c>
      <c r="C22" s="14" t="inlineStr">
        <is>
          <t># Espectadores no momento da oferta</t>
        </is>
      </c>
      <c r="F22" s="17">
        <f>ROUND(F18*F21,0)</f>
        <v/>
      </c>
      <c r="G22" s="17">
        <f>ROUND(G18*G21,0)</f>
        <v/>
      </c>
      <c r="H22" s="17">
        <f>ROUND(H18*H21,0)</f>
        <v/>
      </c>
      <c r="I22" s="17">
        <f>ROUND(I18*I21,0)</f>
        <v/>
      </c>
      <c r="J22" s="11">
        <f>SUM(F22:I22)</f>
        <v/>
      </c>
    </row>
    <row r="23" ht="6" customHeight="1"/>
    <row r="24" ht="22" customHeight="1">
      <c r="A24" s="7" t="inlineStr">
        <is>
          <t xml:space="preserve">  ENGAJAMENTO  ·  interação durante a live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 ht="17" customHeight="1">
      <c r="B25" s="8" t="inlineStr">
        <is>
          <t>CR5</t>
        </is>
      </c>
      <c r="C25" s="14" t="inlineStr">
        <is>
          <t>% Espectadores → Engajaram (comentário/reação)</t>
        </is>
      </c>
      <c r="F25" s="15" t="n">
        <v>0.3</v>
      </c>
      <c r="G25" s="15" t="n">
        <v>0.3</v>
      </c>
      <c r="H25" s="15" t="n">
        <v>0.32</v>
      </c>
      <c r="I25" s="15" t="n">
        <v>0.32</v>
      </c>
      <c r="J25" s="16">
        <f>IFERROR(SUM(F26:I26)/SUM(F18:I18),0)</f>
        <v/>
      </c>
    </row>
    <row r="26" ht="17" customHeight="1">
      <c r="B26" s="8" t="inlineStr">
        <is>
          <t>VM6</t>
        </is>
      </c>
      <c r="C26" s="14" t="inlineStr">
        <is>
          <t># Interações / comentários</t>
        </is>
      </c>
      <c r="F26" s="17">
        <f>ROUND(F18*F25,0)</f>
        <v/>
      </c>
      <c r="G26" s="17">
        <f>ROUND(G18*G25,0)</f>
        <v/>
      </c>
      <c r="H26" s="17">
        <f>ROUND(H18*H25,0)</f>
        <v/>
      </c>
      <c r="I26" s="17">
        <f>ROUND(I18*I25,0)</f>
        <v/>
      </c>
      <c r="J26" s="11">
        <f>SUM(F26:I26)</f>
        <v/>
      </c>
    </row>
    <row r="27" ht="17" customHeight="1">
      <c r="B27" s="8" t="inlineStr">
        <is>
          <t>CR6</t>
        </is>
      </c>
      <c r="C27" s="14" t="inlineStr">
        <is>
          <t>% Espectadores na oferta → Clicaram no CTA/link</t>
        </is>
      </c>
      <c r="F27" s="15" t="n">
        <v>0.2</v>
      </c>
      <c r="G27" s="15" t="n">
        <v>0.22</v>
      </c>
      <c r="H27" s="15" t="n">
        <v>0.24</v>
      </c>
      <c r="I27" s="15" t="n">
        <v>0.25</v>
      </c>
      <c r="J27" s="16">
        <f>IFERROR(SUM(F28:I28)/SUM(F22:I22),0)</f>
        <v/>
      </c>
    </row>
    <row r="28" ht="17" customHeight="1">
      <c r="B28" s="8" t="inlineStr">
        <is>
          <t>VM7</t>
        </is>
      </c>
      <c r="C28" s="14" t="inlineStr">
        <is>
          <t># Cliques no CTA/link</t>
        </is>
      </c>
      <c r="F28" s="17">
        <f>ROUND(F22*F27,0)</f>
        <v/>
      </c>
      <c r="G28" s="17">
        <f>ROUND(G22*G27,0)</f>
        <v/>
      </c>
      <c r="H28" s="17">
        <f>ROUND(H22*H27,0)</f>
        <v/>
      </c>
      <c r="I28" s="17">
        <f>ROUND(I22*I27,0)</f>
        <v/>
      </c>
      <c r="J28" s="11">
        <f>SUM(F28:I28)</f>
        <v/>
      </c>
    </row>
    <row r="29" ht="6" customHeight="1"/>
    <row r="30" ht="22" customHeight="1">
      <c r="A30" s="7" t="inlineStr">
        <is>
          <t xml:space="preserve">  OFERTA &amp; CONVERSÃO  ·  do clique à venda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 ht="17" customHeight="1">
      <c r="B31" s="8" t="inlineStr">
        <is>
          <t>CR7</t>
        </is>
      </c>
      <c r="C31" s="14" t="inlineStr">
        <is>
          <t>% Clique → Lead (WhatsApp / formulário)</t>
        </is>
      </c>
      <c r="F31" s="15" t="n">
        <v>0.55</v>
      </c>
      <c r="G31" s="15" t="n">
        <v>0.55</v>
      </c>
      <c r="H31" s="15" t="n">
        <v>0.58</v>
      </c>
      <c r="I31" s="15" t="n">
        <v>0.58</v>
      </c>
      <c r="J31" s="16">
        <f>IFERROR(SUM(F32:I32)/SUM(F28:I28),0)</f>
        <v/>
      </c>
    </row>
    <row r="32" ht="17" customHeight="1">
      <c r="B32" s="8" t="inlineStr">
        <is>
          <t>VM8</t>
        </is>
      </c>
      <c r="C32" s="14" t="inlineStr">
        <is>
          <t># Leads gerados na live</t>
        </is>
      </c>
      <c r="F32" s="17">
        <f>ROUND(F28*F31,0)</f>
        <v/>
      </c>
      <c r="G32" s="17">
        <f>ROUND(G28*G31,0)</f>
        <v/>
      </c>
      <c r="H32" s="17">
        <f>ROUND(H28*H31,0)</f>
        <v/>
      </c>
      <c r="I32" s="17">
        <f>ROUND(I28*I31,0)</f>
        <v/>
      </c>
      <c r="J32" s="11">
        <f>SUM(F32:I32)</f>
        <v/>
      </c>
    </row>
    <row r="33" ht="17" customHeight="1">
      <c r="B33" s="8" t="inlineStr">
        <is>
          <t>CR8</t>
        </is>
      </c>
      <c r="C33" s="14" t="inlineStr">
        <is>
          <t>% Lead → Qualificado (fit + capacidade)</t>
        </is>
      </c>
      <c r="F33" s="15" t="n">
        <v>0.5</v>
      </c>
      <c r="G33" s="15" t="n">
        <v>0.5</v>
      </c>
      <c r="H33" s="15" t="n">
        <v>0.52</v>
      </c>
      <c r="I33" s="15" t="n">
        <v>0.52</v>
      </c>
      <c r="J33" s="16">
        <f>IFERROR(SUM(F34:I34)/SUM(F32:I32),0)</f>
        <v/>
      </c>
    </row>
    <row r="34" ht="17" customHeight="1">
      <c r="B34" s="8" t="inlineStr">
        <is>
          <t>VM9</t>
        </is>
      </c>
      <c r="C34" s="14" t="inlineStr">
        <is>
          <t># Leads qualificados</t>
        </is>
      </c>
      <c r="F34" s="17">
        <f>ROUND(F32*F33,0)</f>
        <v/>
      </c>
      <c r="G34" s="17">
        <f>ROUND(G32*G33,0)</f>
        <v/>
      </c>
      <c r="H34" s="17">
        <f>ROUND(H32*H33,0)</f>
        <v/>
      </c>
      <c r="I34" s="17">
        <f>ROUND(I32*I33,0)</f>
        <v/>
      </c>
      <c r="J34" s="11">
        <f>SUM(F34:I34)</f>
        <v/>
      </c>
    </row>
    <row r="35" ht="17" customHeight="1">
      <c r="B35" s="8" t="inlineStr">
        <is>
          <t>CR9</t>
        </is>
      </c>
      <c r="C35" s="14" t="inlineStr">
        <is>
          <t>% Qualificado → Venda (fechamento)</t>
        </is>
      </c>
      <c r="F35" s="15" t="n">
        <v>0.3</v>
      </c>
      <c r="G35" s="15" t="n">
        <v>0.32</v>
      </c>
      <c r="H35" s="15" t="n">
        <v>0.34</v>
      </c>
      <c r="I35" s="15" t="n">
        <v>0.35</v>
      </c>
      <c r="J35" s="16">
        <f>IFERROR(SUM(F36:I36)/SUM(F34:I34),0)</f>
        <v/>
      </c>
    </row>
    <row r="36" ht="17" customHeight="1">
      <c r="B36" s="8" t="inlineStr">
        <is>
          <t>VM10</t>
        </is>
      </c>
      <c r="C36" s="9" t="inlineStr">
        <is>
          <t># Vendas AO VIVO (cotas fechadas)</t>
        </is>
      </c>
      <c r="F36" s="10">
        <f>ROUND(F34*F35,0)</f>
        <v/>
      </c>
      <c r="G36" s="10">
        <f>ROUND(G34*G35,0)</f>
        <v/>
      </c>
      <c r="H36" s="10">
        <f>ROUND(H34*H35,0)</f>
        <v/>
      </c>
      <c r="I36" s="10">
        <f>ROUND(I34*I35,0)</f>
        <v/>
      </c>
      <c r="J36" s="11">
        <f>SUM(F36:I36)</f>
        <v/>
      </c>
    </row>
    <row r="37" ht="6" customHeight="1"/>
    <row r="38" ht="22" customHeight="1">
      <c r="A38" s="7" t="inlineStr">
        <is>
          <t xml:space="preserve">  PÓS-LIVE  ·  replay e follow-up (72h)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 ht="17" customHeight="1">
      <c r="C39" s="14" t="inlineStr">
        <is>
          <t># Visualizações do replay</t>
        </is>
      </c>
      <c r="F39" s="13" t="n">
        <v>400</v>
      </c>
      <c r="G39" s="13" t="n">
        <v>500</v>
      </c>
      <c r="H39" s="13" t="n">
        <v>600</v>
      </c>
      <c r="I39" s="13" t="n">
        <v>650</v>
      </c>
      <c r="J39" s="11">
        <f>SUM(F39:I39)</f>
        <v/>
      </c>
    </row>
    <row r="40" ht="17" customHeight="1">
      <c r="B40" s="8" t="inlineStr">
        <is>
          <t>CR10</t>
        </is>
      </c>
      <c r="C40" s="14" t="inlineStr">
        <is>
          <t>% Replay → Lead adicional</t>
        </is>
      </c>
      <c r="F40" s="15" t="n">
        <v>0.03</v>
      </c>
      <c r="G40" s="15" t="n">
        <v>0.03</v>
      </c>
      <c r="H40" s="15" t="n">
        <v>0.03</v>
      </c>
      <c r="I40" s="15" t="n">
        <v>0.03</v>
      </c>
      <c r="J40" s="16">
        <f>IFERROR(SUM(F41:I41)/SUM(F39:I39),0)</f>
        <v/>
      </c>
    </row>
    <row r="41" ht="17" customHeight="1">
      <c r="B41" s="8" t="inlineStr">
        <is>
          <t>VM11</t>
        </is>
      </c>
      <c r="C41" s="14" t="inlineStr">
        <is>
          <t># Leads do replay</t>
        </is>
      </c>
      <c r="F41" s="17">
        <f>ROUND(F39*F40,0)</f>
        <v/>
      </c>
      <c r="G41" s="17">
        <f>ROUND(G39*G40,0)</f>
        <v/>
      </c>
      <c r="H41" s="17">
        <f>ROUND(H39*H40,0)</f>
        <v/>
      </c>
      <c r="I41" s="17">
        <f>ROUND(I39*I40,0)</f>
        <v/>
      </c>
      <c r="J41" s="11">
        <f>SUM(F41:I41)</f>
        <v/>
      </c>
    </row>
    <row r="42" ht="17" customHeight="1">
      <c r="C42" s="14" t="inlineStr">
        <is>
          <t># Vendas no follow-up (72h pós-live)</t>
        </is>
      </c>
      <c r="F42" s="13" t="n">
        <v>3</v>
      </c>
      <c r="G42" s="13" t="n">
        <v>4</v>
      </c>
      <c r="H42" s="13" t="n">
        <v>5</v>
      </c>
      <c r="I42" s="13" t="n">
        <v>6</v>
      </c>
      <c r="J42" s="11">
        <f>SUM(F42:I42)</f>
        <v/>
      </c>
    </row>
    <row r="43" ht="6" customHeight="1"/>
    <row r="44" ht="22" customHeight="1">
      <c r="A44" s="7" t="inlineStr">
        <is>
          <t xml:space="preserve">  RESULTADO &amp; RECEITA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 ht="17" customHeight="1">
      <c r="C45" s="14" t="inlineStr">
        <is>
          <t># Vendas ao vivo</t>
        </is>
      </c>
      <c r="F45" s="17">
        <f>F36</f>
        <v/>
      </c>
      <c r="G45" s="17">
        <f>G36</f>
        <v/>
      </c>
      <c r="H45" s="17">
        <f>H36</f>
        <v/>
      </c>
      <c r="I45" s="17">
        <f>I36</f>
        <v/>
      </c>
      <c r="J45" s="11">
        <f>SUM(F45:I45)</f>
        <v/>
      </c>
    </row>
    <row r="46" ht="17" customHeight="1">
      <c r="C46" s="14" t="inlineStr">
        <is>
          <t># Vendas no follow-up</t>
        </is>
      </c>
      <c r="F46" s="17">
        <f>F42</f>
        <v/>
      </c>
      <c r="G46" s="17">
        <f>G42</f>
        <v/>
      </c>
      <c r="H46" s="17">
        <f>H42</f>
        <v/>
      </c>
      <c r="I46" s="17">
        <f>I42</f>
        <v/>
      </c>
      <c r="J46" s="11">
        <f>SUM(F46:I46)</f>
        <v/>
      </c>
    </row>
    <row r="47" ht="17" customHeight="1">
      <c r="B47" s="8" t="inlineStr">
        <is>
          <t>VM12</t>
        </is>
      </c>
      <c r="C47" s="9" t="inlineStr">
        <is>
          <t># VENDAS TOTAIS da semana</t>
        </is>
      </c>
      <c r="F47" s="10">
        <f>F45+F46</f>
        <v/>
      </c>
      <c r="G47" s="10">
        <f>G45+G46</f>
        <v/>
      </c>
      <c r="H47" s="10">
        <f>H45+H46</f>
        <v/>
      </c>
      <c r="I47" s="10">
        <f>I45+I46</f>
        <v/>
      </c>
      <c r="J47" s="11">
        <f>SUM(F47:I47)</f>
        <v/>
      </c>
    </row>
    <row r="48" ht="17" customHeight="1">
      <c r="C48" s="14" t="inlineStr">
        <is>
          <t>R$ Ticket médio (crédito / cota)</t>
        </is>
      </c>
      <c r="F48" s="20" t="n">
        <v>60000</v>
      </c>
      <c r="G48" s="20" t="n">
        <v>60000</v>
      </c>
      <c r="H48" s="20" t="n">
        <v>60000</v>
      </c>
      <c r="I48" s="20" t="n">
        <v>60000</v>
      </c>
      <c r="J48" s="21">
        <f>IFERROR(AVERAGE(F48:I48),0)</f>
        <v/>
      </c>
    </row>
    <row r="49" ht="17" customHeight="1">
      <c r="C49" s="14" t="inlineStr">
        <is>
          <t>R$ GMV comercializado (crédito)</t>
        </is>
      </c>
      <c r="F49" s="22">
        <f>F47*F48</f>
        <v/>
      </c>
      <c r="G49" s="22">
        <f>G47*G48</f>
        <v/>
      </c>
      <c r="H49" s="22">
        <f>H47*H48</f>
        <v/>
      </c>
      <c r="I49" s="22">
        <f>I47*I48</f>
        <v/>
      </c>
      <c r="J49" s="21">
        <f>SUM(F49:I49)</f>
        <v/>
      </c>
    </row>
    <row r="50" ht="17" customHeight="1">
      <c r="C50" s="14" t="inlineStr">
        <is>
          <t>% Taxa de administração (base de referência)</t>
        </is>
      </c>
      <c r="F50" s="15" t="n">
        <v>0.18</v>
      </c>
      <c r="G50" s="15" t="n">
        <v>0.18</v>
      </c>
      <c r="H50" s="15" t="n">
        <v>0.18</v>
      </c>
      <c r="I50" s="15" t="n">
        <v>0.18</v>
      </c>
      <c r="J50" s="16">
        <f>IFERROR(AVERAGE(F50:I50),0)</f>
        <v/>
      </c>
    </row>
    <row r="51" ht="17" customHeight="1">
      <c r="B51" s="8" t="inlineStr">
        <is>
          <t>VM13</t>
        </is>
      </c>
      <c r="C51" s="9" t="inlineStr">
        <is>
          <t>R$ Receita bruta p/ Recon (taxa adm. contratada)</t>
        </is>
      </c>
      <c r="F51" s="23">
        <f>F49*F50</f>
        <v/>
      </c>
      <c r="G51" s="23">
        <f>G49*G50</f>
        <v/>
      </c>
      <c r="H51" s="23">
        <f>H49*H50</f>
        <v/>
      </c>
      <c r="I51" s="23">
        <f>I49*I50</f>
        <v/>
      </c>
      <c r="J51" s="21">
        <f>SUM(F51:I51)</f>
        <v/>
      </c>
    </row>
    <row r="52" ht="17" customHeight="1">
      <c r="C52" s="14" t="inlineStr">
        <is>
          <t>R$ Investimento em ads</t>
        </is>
      </c>
      <c r="F52" s="20" t="n">
        <v>4000</v>
      </c>
      <c r="G52" s="20" t="n">
        <v>4500</v>
      </c>
      <c r="H52" s="20" t="n">
        <v>5000</v>
      </c>
      <c r="I52" s="20" t="n">
        <v>5000</v>
      </c>
      <c r="J52" s="21">
        <f>SUM(F52:I52)</f>
        <v/>
      </c>
    </row>
    <row r="53" ht="17" customHeight="1">
      <c r="C53" s="14" t="inlineStr">
        <is>
          <t>R$ Custo de produção da live</t>
        </is>
      </c>
      <c r="F53" s="20" t="n">
        <v>1500</v>
      </c>
      <c r="G53" s="20" t="n">
        <v>1500</v>
      </c>
      <c r="H53" s="20" t="n">
        <v>1800</v>
      </c>
      <c r="I53" s="20" t="n">
        <v>1800</v>
      </c>
      <c r="J53" s="21">
        <f>SUM(F53:I53)</f>
        <v/>
      </c>
    </row>
    <row r="54" ht="17" customHeight="1">
      <c r="C54" s="14" t="inlineStr">
        <is>
          <t>R$ Investimento total da live</t>
        </is>
      </c>
      <c r="F54" s="22">
        <f>F52+F53</f>
        <v/>
      </c>
      <c r="G54" s="22">
        <f>G52+G53</f>
        <v/>
      </c>
      <c r="H54" s="22">
        <f>H52+H53</f>
        <v/>
      </c>
      <c r="I54" s="22">
        <f>I52+I53</f>
        <v/>
      </c>
      <c r="J54" s="21">
        <f>SUM(F54:I54)</f>
        <v/>
      </c>
    </row>
    <row r="55" ht="17" customHeight="1">
      <c r="C55" s="14" t="inlineStr">
        <is>
          <t>R$ CPL — custo por lead</t>
        </is>
      </c>
      <c r="F55" s="22">
        <f>IFERROR(F54/(F32+F41),0)</f>
        <v/>
      </c>
      <c r="G55" s="22">
        <f>IFERROR(G54/(G32+G41),0)</f>
        <v/>
      </c>
      <c r="H55" s="22">
        <f>IFERROR(H54/(H32+H41),0)</f>
        <v/>
      </c>
      <c r="I55" s="22">
        <f>IFERROR(I54/(I32+I41),0)</f>
        <v/>
      </c>
      <c r="J55" s="21">
        <f>IFERROR(SUM(F54:I54)/(SUM(F32:I32)+SUM(F41:I41)),0)</f>
        <v/>
      </c>
    </row>
    <row r="56" ht="17" customHeight="1">
      <c r="C56" s="14" t="inlineStr">
        <is>
          <t>R$ CAC — custo por venda</t>
        </is>
      </c>
      <c r="F56" s="22">
        <f>IFERROR(F54/F47,0)</f>
        <v/>
      </c>
      <c r="G56" s="22">
        <f>IFERROR(G54/G47,0)</f>
        <v/>
      </c>
      <c r="H56" s="22">
        <f>IFERROR(H54/H47,0)</f>
        <v/>
      </c>
      <c r="I56" s="22">
        <f>IFERROR(I54/I47,0)</f>
        <v/>
      </c>
      <c r="J56" s="21">
        <f>IFERROR(SUM(F54:I54)/SUM(F47:I47),0)</f>
        <v/>
      </c>
    </row>
    <row r="57" ht="17" customHeight="1">
      <c r="C57" s="9" t="inlineStr">
        <is>
          <t>ROAS — receita bruta ÷ investimento</t>
        </is>
      </c>
      <c r="F57" s="24">
        <f>IFERROR(F51/F54,0)</f>
        <v/>
      </c>
      <c r="G57" s="24">
        <f>IFERROR(G51/G54,0)</f>
        <v/>
      </c>
      <c r="H57" s="24">
        <f>IFERROR(H51/H54,0)</f>
        <v/>
      </c>
      <c r="I57" s="24">
        <f>IFERROR(I51/I54,0)</f>
        <v/>
      </c>
      <c r="J57" s="25">
        <f>IFERROR(SUM(F51:I51)/SUM(F54:I54),0)</f>
        <v/>
      </c>
    </row>
    <row r="58" ht="6" customHeight="1"/>
    <row r="59" ht="22" customHeight="1">
      <c r="A59" s="7" t="inlineStr">
        <is>
          <t xml:space="preserve">  KPIs DA SEMANA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 ht="17" customHeight="1">
      <c r="C60" s="14" t="inlineStr">
        <is>
          <t>Show-up rate (espectadores ÷ inscritos)</t>
        </is>
      </c>
      <c r="F60" s="26">
        <f>IFERROR(F18/F12,0)</f>
        <v/>
      </c>
      <c r="G60" s="26">
        <f>IFERROR(G18/G12,0)</f>
        <v/>
      </c>
      <c r="H60" s="26">
        <f>IFERROR(H18/H12,0)</f>
        <v/>
      </c>
      <c r="I60" s="26">
        <f>IFERROR(I18/I12,0)</f>
        <v/>
      </c>
      <c r="J60" s="27">
        <f>IFERROR(SUM(F18:I18)/SUM(F12:I12),0)</f>
        <v/>
      </c>
    </row>
    <row r="61" ht="17" customHeight="1">
      <c r="C61" s="14" t="inlineStr">
        <is>
          <t>Retenção até a oferta</t>
        </is>
      </c>
      <c r="F61" s="26">
        <f>F21</f>
        <v/>
      </c>
      <c r="G61" s="26">
        <f>G21</f>
        <v/>
      </c>
      <c r="H61" s="26">
        <f>H21</f>
        <v/>
      </c>
      <c r="I61" s="26">
        <f>I21</f>
        <v/>
      </c>
      <c r="J61" s="27">
        <f>IFERROR(SUM(F22:I22)/SUM(F18:I18),0)</f>
        <v/>
      </c>
    </row>
    <row r="62" ht="17" customHeight="1">
      <c r="C62" s="14" t="inlineStr">
        <is>
          <t>Conversão global (venda ÷ espectador)</t>
        </is>
      </c>
      <c r="F62" s="26">
        <f>IFERROR(F36/F18,0)</f>
        <v/>
      </c>
      <c r="G62" s="26">
        <f>IFERROR(G36/G18,0)</f>
        <v/>
      </c>
      <c r="H62" s="26">
        <f>IFERROR(H36/H18,0)</f>
        <v/>
      </c>
      <c r="I62" s="26">
        <f>IFERROR(I36/I18,0)</f>
        <v/>
      </c>
      <c r="J62" s="27">
        <f>IFERROR(SUM(F36:I36)/SUM(F18:I18),0)</f>
        <v/>
      </c>
    </row>
    <row r="63" ht="17" customHeight="1">
      <c r="C63" s="14" t="inlineStr">
        <is>
          <t>ROAS</t>
        </is>
      </c>
      <c r="F63" s="28">
        <f>F57</f>
        <v/>
      </c>
      <c r="G63" s="28">
        <f>G57</f>
        <v/>
      </c>
      <c r="H63" s="28">
        <f>H57</f>
        <v/>
      </c>
      <c r="I63" s="28">
        <f>I57</f>
        <v/>
      </c>
      <c r="J63" s="25">
        <f>IFERROR(SUM(F51:I51)/SUM(F54:I54),0)</f>
        <v/>
      </c>
    </row>
    <row r="64" ht="17" customHeight="1">
      <c r="C64" s="9" t="inlineStr">
        <is>
          <t>R$ Receita bruta acumulada</t>
        </is>
      </c>
      <c r="F64" s="23">
        <f>F51</f>
        <v/>
      </c>
      <c r="G64" s="23">
        <f>F64+G51</f>
        <v/>
      </c>
      <c r="H64" s="23">
        <f>G64+H51</f>
        <v/>
      </c>
      <c r="I64" s="23">
        <f>H64+I51</f>
        <v/>
      </c>
      <c r="J64" s="21">
        <f>I64</f>
        <v/>
      </c>
    </row>
    <row r="65" ht="17" customHeight="1">
      <c r="C65" s="9" t="inlineStr">
        <is>
          <t># Vendas totais acumuladas</t>
        </is>
      </c>
      <c r="F65" s="10">
        <f>F47</f>
        <v/>
      </c>
      <c r="G65" s="10">
        <f>F65+G47</f>
        <v/>
      </c>
      <c r="H65" s="10">
        <f>G65+H47</f>
        <v/>
      </c>
      <c r="I65" s="10">
        <f>H65+I47</f>
        <v/>
      </c>
      <c r="J65" s="11">
        <f>I65</f>
        <v/>
      </c>
    </row>
    <row r="67" ht="30" customHeight="1">
      <c r="A67" s="29" t="inlineStr">
        <is>
          <t>Receita bruta = taxa de administração CONTRATADA nas vendas da live (reconhecida ao longo da vida dos grupos), não caixa do período — base de ROAS indicativa. Todas as taxas de conversão, ticket e investimento são premissas: substitua pelos números reais de cada live.</t>
        </is>
      </c>
    </row>
  </sheetData>
  <mergeCells count="10">
    <mergeCell ref="A44:J44"/>
    <mergeCell ref="A1:J1"/>
    <mergeCell ref="A6:J6"/>
    <mergeCell ref="A2:J2"/>
    <mergeCell ref="A67:J67"/>
    <mergeCell ref="A30:J30"/>
    <mergeCell ref="A59:J59"/>
    <mergeCell ref="A24:J24"/>
    <mergeCell ref="A16:J16"/>
    <mergeCell ref="A38:J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62" customWidth="1" min="3" max="3"/>
    <col width="3" customWidth="1" min="4" max="4"/>
  </cols>
  <sheetData>
    <row r="1" ht="30" customHeight="1">
      <c r="A1" s="30" t="inlineStr">
        <is>
          <t xml:space="preserve">  Os nós da jornada — Funil de Live Semanal</t>
        </is>
      </c>
      <c r="B1" s="2" t="n"/>
      <c r="C1" s="2" t="n"/>
      <c r="D1" s="2" t="n"/>
    </row>
    <row r="3" ht="20" customHeight="1">
      <c r="A3" s="31" t="inlineStr">
        <is>
          <t xml:space="preserve">  LEGENDA</t>
        </is>
      </c>
      <c r="B3" s="2" t="n"/>
      <c r="C3" s="2" t="n"/>
      <c r="D3" s="2" t="n"/>
    </row>
    <row r="4">
      <c r="B4" s="32" t="inlineStr">
        <is>
          <t>▨ Âmbar (fundo claro)</t>
        </is>
      </c>
      <c r="C4" s="33" t="inlineStr">
        <is>
          <t>Premissa editável — preencha com o dado real da live.</t>
        </is>
      </c>
    </row>
    <row r="5">
      <c r="B5" s="34" t="inlineStr">
        <is>
          <t>Texto preto</t>
        </is>
      </c>
      <c r="C5" s="33" t="inlineStr">
        <is>
          <t>Fórmula calculada — não editar.</t>
        </is>
      </c>
    </row>
    <row r="6">
      <c r="B6" s="34" t="inlineStr">
        <is>
          <t>Total / Média</t>
        </is>
      </c>
      <c r="C6" s="33" t="inlineStr">
        <is>
          <t>Soma volumes e R$; média (ou ponderada) para % e tickets.</t>
        </is>
      </c>
    </row>
    <row r="8" ht="20" customHeight="1">
      <c r="A8" s="31" t="inlineStr">
        <is>
          <t xml:space="preserve">  OS NÓS DO FUNIL</t>
        </is>
      </c>
      <c r="B8" s="2" t="n"/>
      <c r="C8" s="2" t="n"/>
      <c r="D8" s="2" t="n"/>
    </row>
    <row r="9">
      <c r="B9" s="35" t="inlineStr">
        <is>
          <t>1 · PRÉ-LIVE</t>
        </is>
      </c>
      <c r="C9" s="33" t="inlineStr">
        <is>
          <t>Divulgação (orgânico+ads+base) → inscritos → confirmados no lembrete.</t>
        </is>
      </c>
    </row>
    <row r="10">
      <c r="B10" s="35" t="inlineStr">
        <is>
          <t>2 · AO VIVO</t>
        </is>
      </c>
      <c r="C10" s="33" t="inlineStr">
        <is>
          <t>Show-up, espectadores únicos, pico, tempo de permanência, retenção até a oferta.</t>
        </is>
      </c>
    </row>
    <row r="11">
      <c r="B11" s="35" t="inlineStr">
        <is>
          <t>3 · ENGAJAMENTO</t>
        </is>
      </c>
      <c r="C11" s="33" t="inlineStr">
        <is>
          <t>Comentários/reações e cliques no CTA durante a live.</t>
        </is>
      </c>
    </row>
    <row r="12">
      <c r="B12" s="35" t="inlineStr">
        <is>
          <t>4 · OFERTA &amp; CONVERSÃO</t>
        </is>
      </c>
      <c r="C12" s="33" t="inlineStr">
        <is>
          <t>Clique → lead → qualificado → venda ao vivo.</t>
        </is>
      </c>
    </row>
    <row r="13">
      <c r="B13" s="35" t="inlineStr">
        <is>
          <t>5 · PÓS-LIVE</t>
        </is>
      </c>
      <c r="C13" s="33" t="inlineStr">
        <is>
          <t>Replay, leads adicionais e vendas no follow-up de 72h.</t>
        </is>
      </c>
    </row>
    <row r="14">
      <c r="B14" s="35" t="inlineStr">
        <is>
          <t>6 · RESULTADO &amp; RECEITA</t>
        </is>
      </c>
      <c r="C14" s="33" t="inlineStr">
        <is>
          <t>Vendas totais, GMV, receita, investimento, CPL, CAC e ROAS.</t>
        </is>
      </c>
    </row>
    <row r="15">
      <c r="B15" s="35" t="inlineStr">
        <is>
          <t>7 · KPIs</t>
        </is>
      </c>
      <c r="C15" s="33" t="inlineStr">
        <is>
          <t>Show-up, retenção, conversão global, ROAS e acumulados.</t>
        </is>
      </c>
    </row>
    <row r="17" ht="20" customHeight="1">
      <c r="A17" s="31" t="inlineStr">
        <is>
          <t xml:space="preserve">  COMO USAR</t>
        </is>
      </c>
      <c r="B17" s="2" t="n"/>
      <c r="C17" s="2" t="n"/>
      <c r="D17" s="2" t="n"/>
    </row>
    <row r="18">
      <c r="B18" s="35" t="inlineStr">
        <is>
          <t>Toda semana</t>
        </is>
      </c>
      <c r="C18" s="33" t="inlineStr">
        <is>
          <t>Rode a live, preencha as células âmbar da coluna da semana.</t>
        </is>
      </c>
    </row>
    <row r="19">
      <c r="B19" s="35" t="inlineStr">
        <is>
          <t>Leitura rápida</t>
        </is>
      </c>
      <c r="C19" s="33" t="inlineStr">
        <is>
          <t>Compare Live 1→4 lado a lado e veja onde o funil vaza.</t>
        </is>
      </c>
    </row>
    <row r="20">
      <c r="B20" s="35" t="inlineStr">
        <is>
          <t>Próximo mês</t>
        </is>
      </c>
      <c r="C20" s="33" t="inlineStr">
        <is>
          <t>Duplique a aba e comece um novo bloco de 4 semanas.</t>
        </is>
      </c>
    </row>
    <row r="21">
      <c r="B21" s="35" t="inlineStr">
        <is>
          <t>Pontes</t>
        </is>
      </c>
      <c r="C21" s="33" t="inlineStr">
        <is>
          <t>Vendas e receita alimentam o GTM e o success fee (5%).</t>
        </is>
      </c>
    </row>
  </sheetData>
  <mergeCells count="4">
    <mergeCell ref="A1:D1"/>
    <mergeCell ref="A8:D8"/>
    <mergeCell ref="A3:D3"/>
    <mergeCell ref="A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2026-08-25T13:47:08Z</dcterms:created>
  <dcterms:modified xmlns:dcterms="http://purl.org/dc/terms/" xmlns:xsi="http://www.w3.org/2001/XMLSchema-instance" xsi:type="dcterms:W3CDTF">2026-08-25T13:47:08Z</dcterms:modified>
</cp:coreProperties>
</file>